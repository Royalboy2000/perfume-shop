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PS" sheetId="1" r:id="rId4"/>
    <sheet state="visible" name="Products" sheetId="2" r:id="rId5"/>
    <sheet state="visible" name="Employees" sheetId="3" r:id="rId6"/>
    <sheet state="visible" name="Stock In" sheetId="4" r:id="rId7"/>
    <sheet state="visible" name="SALES SHEET" sheetId="5" r:id="rId8"/>
    <sheet state="visible" name="INVENTORY SHEET" sheetId="6" r:id="rId9"/>
    <sheet state="visible" name="DASHBOARD SHEET" sheetId="7" r:id="rId10"/>
  </sheets>
  <definedNames/>
  <calcPr/>
</workbook>
</file>

<file path=xl/sharedStrings.xml><?xml version="1.0" encoding="utf-8"?>
<sst xmlns="http://schemas.openxmlformats.org/spreadsheetml/2006/main" count="107" uniqueCount="86">
  <si>
    <t xml:space="preserve">Shop ID </t>
  </si>
  <si>
    <t xml:space="preserve">Shop Name </t>
  </si>
  <si>
    <t>Manager</t>
  </si>
  <si>
    <t xml:space="preserve">G13 </t>
  </si>
  <si>
    <t xml:space="preserve"> AL FAROUQ </t>
  </si>
  <si>
    <t>OMAR YUSUF</t>
  </si>
  <si>
    <t xml:space="preserve">B15 </t>
  </si>
  <si>
    <t xml:space="preserve"> AL HAQ </t>
  </si>
  <si>
    <t>KHALID HASSAN</t>
  </si>
  <si>
    <t xml:space="preserve">F14 </t>
  </si>
  <si>
    <t xml:space="preserve">DIAMOND PLAZA </t>
  </si>
  <si>
    <t>LEILA MANSOOR</t>
  </si>
  <si>
    <t xml:space="preserve">H22 </t>
  </si>
  <si>
    <t xml:space="preserve">SUPER SCENT </t>
  </si>
  <si>
    <t>FARAH MOHAMED</t>
  </si>
  <si>
    <t xml:space="preserve">K09 </t>
  </si>
  <si>
    <t>FRAGRANCE WORLD</t>
  </si>
  <si>
    <t>YUSUF KHALID</t>
  </si>
  <si>
    <t xml:space="preserve">M33 </t>
  </si>
  <si>
    <t>LUXURY PERFUMES</t>
  </si>
  <si>
    <t>SALMA HUSSEIN</t>
  </si>
  <si>
    <t xml:space="preserve">D17 </t>
  </si>
  <si>
    <t>AROMA SHOP</t>
  </si>
  <si>
    <t>HAMZA ALI</t>
  </si>
  <si>
    <t xml:space="preserve">P001 </t>
  </si>
  <si>
    <t xml:space="preserve">DIOR SAUVAGE EDP </t>
  </si>
  <si>
    <t xml:space="preserve">Perfume </t>
  </si>
  <si>
    <t>P002</t>
  </si>
  <si>
    <t>CHANEL BLEU</t>
  </si>
  <si>
    <t>P003</t>
  </si>
  <si>
    <t>VERSACE EROS</t>
  </si>
  <si>
    <t>P004</t>
  </si>
  <si>
    <t xml:space="preserve">ARMANI CODE </t>
  </si>
  <si>
    <t>P005</t>
  </si>
  <si>
    <t xml:space="preserve">LATTAFA OUD FOR GLORY </t>
  </si>
  <si>
    <t>P006</t>
  </si>
  <si>
    <t xml:space="preserve">AFNAN 9PM </t>
  </si>
  <si>
    <t>P007</t>
  </si>
  <si>
    <t>YSL Y EDP</t>
  </si>
  <si>
    <t>Employee ID</t>
  </si>
  <si>
    <t xml:space="preserve">Employee Name </t>
  </si>
  <si>
    <t xml:space="preserve">Shop </t>
  </si>
  <si>
    <t>Role</t>
  </si>
  <si>
    <t>Contact</t>
  </si>
  <si>
    <t>E001</t>
  </si>
  <si>
    <t>G13</t>
  </si>
  <si>
    <t>Cashier</t>
  </si>
  <si>
    <t>E002</t>
  </si>
  <si>
    <t>F14</t>
  </si>
  <si>
    <t>E003</t>
  </si>
  <si>
    <t>B15</t>
  </si>
  <si>
    <t>Sales</t>
  </si>
  <si>
    <t>E004</t>
  </si>
  <si>
    <t>AHMED ALI</t>
  </si>
  <si>
    <t>E005</t>
  </si>
  <si>
    <t>HASSAN OTHMAN</t>
  </si>
  <si>
    <t>Supervisor</t>
  </si>
  <si>
    <t>E006</t>
  </si>
  <si>
    <t>FATIMA NOOR</t>
  </si>
  <si>
    <t>E007</t>
  </si>
  <si>
    <t>ABDULLAH MAHAD</t>
  </si>
  <si>
    <t>Timestamp</t>
  </si>
  <si>
    <t xml:space="preserve">Date </t>
  </si>
  <si>
    <t xml:space="preserve">Product Name </t>
  </si>
  <si>
    <t>Quantity Received</t>
  </si>
  <si>
    <t xml:space="preserve">supplier </t>
  </si>
  <si>
    <t xml:space="preserve">notes </t>
  </si>
  <si>
    <t xml:space="preserve"> Date </t>
  </si>
  <si>
    <t xml:space="preserve">Employee </t>
  </si>
  <si>
    <t xml:space="preserve">Product </t>
  </si>
  <si>
    <t xml:space="preserve">Quantity </t>
  </si>
  <si>
    <t>Total Price</t>
  </si>
  <si>
    <t>Shop ID</t>
  </si>
  <si>
    <t xml:space="preserve"> Product</t>
  </si>
  <si>
    <t xml:space="preserve">Total Stock In </t>
  </si>
  <si>
    <t xml:space="preserve">Total Sales </t>
  </si>
  <si>
    <t xml:space="preserve"> Current Stock</t>
  </si>
  <si>
    <t>Reorder Level</t>
  </si>
  <si>
    <t>Metric</t>
  </si>
  <si>
    <t>Total Sales (All Time)</t>
  </si>
  <si>
    <t>Sales Today</t>
  </si>
  <si>
    <t>Sales This Month</t>
  </si>
  <si>
    <t>Inventory Value</t>
  </si>
  <si>
    <t>Best Employee</t>
  </si>
  <si>
    <t>Top 5 Products (by Sales)</t>
  </si>
  <si>
    <t>Low Stock 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</si>
</sst>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3" max="3" width="14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2" t="s">
        <v>5</v>
      </c>
    </row>
    <row r="3">
      <c r="A3" s="1" t="s">
        <v>6</v>
      </c>
      <c r="B3" s="1" t="s">
        <v>7</v>
      </c>
      <c r="C3" s="3" t="s">
        <v>8</v>
      </c>
    </row>
    <row r="4">
      <c r="A4" s="1" t="s">
        <v>9</v>
      </c>
      <c r="B4" s="1" t="s">
        <v>10</v>
      </c>
      <c r="C4" s="3" t="s">
        <v>11</v>
      </c>
    </row>
    <row r="5">
      <c r="A5" s="1" t="s">
        <v>12</v>
      </c>
      <c r="B5" s="1" t="s">
        <v>13</v>
      </c>
      <c r="C5" s="3" t="s">
        <v>14</v>
      </c>
    </row>
    <row r="6">
      <c r="A6" s="1" t="s">
        <v>15</v>
      </c>
      <c r="B6" s="1" t="s">
        <v>16</v>
      </c>
      <c r="C6" s="3" t="s">
        <v>17</v>
      </c>
    </row>
    <row r="7">
      <c r="A7" s="1" t="s">
        <v>18</v>
      </c>
      <c r="B7" s="1" t="s">
        <v>19</v>
      </c>
      <c r="C7" s="3" t="s">
        <v>20</v>
      </c>
    </row>
    <row r="8">
      <c r="A8" s="1" t="s">
        <v>21</v>
      </c>
      <c r="B8" s="1" t="s">
        <v>22</v>
      </c>
      <c r="C8" s="3" t="s">
        <v>23</v>
      </c>
    </row>
    <row r="9">
      <c r="C9" s="3"/>
    </row>
    <row r="10">
      <c r="C10" s="3"/>
    </row>
    <row r="11">
      <c r="C11" s="3"/>
    </row>
    <row r="12">
      <c r="C12" s="3"/>
    </row>
    <row r="13">
      <c r="C13" s="3"/>
    </row>
    <row r="14">
      <c r="C14" s="3"/>
    </row>
    <row r="15">
      <c r="C15" s="3"/>
    </row>
    <row r="16">
      <c r="C16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24</v>
      </c>
      <c r="B1" s="4" t="s">
        <v>25</v>
      </c>
      <c r="C1" s="3" t="s">
        <v>26</v>
      </c>
      <c r="D1" s="5">
        <v>25.0</v>
      </c>
      <c r="E1" s="5">
        <v>55.0</v>
      </c>
      <c r="F1" s="5">
        <v>5.0</v>
      </c>
      <c r="G1" s="3"/>
    </row>
    <row r="2">
      <c r="A2" s="3" t="s">
        <v>27</v>
      </c>
      <c r="B2" s="4" t="s">
        <v>28</v>
      </c>
      <c r="C2" s="3" t="s">
        <v>26</v>
      </c>
      <c r="D2" s="5">
        <v>30.0</v>
      </c>
      <c r="E2" s="5">
        <v>60.0</v>
      </c>
      <c r="F2" s="5">
        <v>5.0</v>
      </c>
      <c r="G2" s="3"/>
    </row>
    <row r="3">
      <c r="A3" s="3" t="s">
        <v>29</v>
      </c>
      <c r="B3" s="4" t="s">
        <v>30</v>
      </c>
      <c r="C3" s="3" t="s">
        <v>26</v>
      </c>
      <c r="D3" s="5">
        <v>20.0</v>
      </c>
      <c r="E3" s="5">
        <v>45.0</v>
      </c>
      <c r="F3" s="5">
        <v>4.0</v>
      </c>
      <c r="G3" s="3"/>
    </row>
    <row r="4">
      <c r="A4" s="3" t="s">
        <v>31</v>
      </c>
      <c r="B4" s="4" t="s">
        <v>32</v>
      </c>
      <c r="C4" s="3" t="s">
        <v>26</v>
      </c>
      <c r="D4" s="5">
        <v>28.0</v>
      </c>
      <c r="E4" s="5">
        <v>58.0</v>
      </c>
      <c r="F4" s="5">
        <v>3.0</v>
      </c>
      <c r="G4" s="3"/>
    </row>
    <row r="5">
      <c r="A5" s="3" t="s">
        <v>33</v>
      </c>
      <c r="B5" s="4" t="s">
        <v>34</v>
      </c>
      <c r="C5" s="3" t="s">
        <v>26</v>
      </c>
      <c r="D5" s="5">
        <v>15.0</v>
      </c>
      <c r="E5" s="5">
        <v>40.0</v>
      </c>
      <c r="F5" s="5">
        <v>6.0</v>
      </c>
      <c r="G5" s="3"/>
    </row>
    <row r="6">
      <c r="A6" s="3" t="s">
        <v>35</v>
      </c>
      <c r="B6" s="4" t="s">
        <v>36</v>
      </c>
      <c r="C6" s="3" t="s">
        <v>26</v>
      </c>
      <c r="D6" s="5">
        <v>12.0</v>
      </c>
      <c r="E6" s="5">
        <v>32.0</v>
      </c>
      <c r="F6" s="5">
        <v>4.0</v>
      </c>
      <c r="G6" s="3"/>
    </row>
    <row r="7">
      <c r="A7" s="3" t="s">
        <v>37</v>
      </c>
      <c r="B7" s="4" t="s">
        <v>38</v>
      </c>
      <c r="C7" s="3" t="s">
        <v>26</v>
      </c>
      <c r="D7" s="5">
        <v>35.0</v>
      </c>
      <c r="E7" s="5">
        <v>75.0</v>
      </c>
      <c r="F7" s="5">
        <v>5.0</v>
      </c>
      <c r="G7" s="3"/>
    </row>
    <row r="8">
      <c r="A8" s="3" t="str">
        <f t="shared" ref="A8:A10" si="2">IFERROR('Form Responses 2'!B8,"")</f>
        <v/>
      </c>
      <c r="B8" s="3"/>
      <c r="C8" s="3" t="str">
        <f t="shared" ref="C8:F8" si="1">IFERROR('Form Responses 2'!D8,"")</f>
        <v/>
      </c>
      <c r="D8" s="3" t="str">
        <f t="shared" si="1"/>
        <v/>
      </c>
      <c r="E8" s="3" t="str">
        <f t="shared" si="1"/>
        <v/>
      </c>
      <c r="F8" s="3" t="str">
        <f t="shared" si="1"/>
        <v/>
      </c>
      <c r="G8" s="3"/>
    </row>
    <row r="9">
      <c r="A9" s="3" t="str">
        <f t="shared" si="2"/>
        <v/>
      </c>
      <c r="B9" s="3"/>
      <c r="C9" s="3" t="str">
        <f t="shared" ref="C9:F9" si="3">IFERROR('Form Responses 2'!D9,"")</f>
        <v/>
      </c>
      <c r="D9" s="3" t="str">
        <f t="shared" si="3"/>
        <v/>
      </c>
      <c r="E9" s="3" t="str">
        <f t="shared" si="3"/>
        <v/>
      </c>
      <c r="F9" s="3" t="str">
        <f t="shared" si="3"/>
        <v/>
      </c>
      <c r="G9" s="3"/>
    </row>
    <row r="10">
      <c r="A10" s="3" t="str">
        <f t="shared" si="2"/>
        <v/>
      </c>
      <c r="B10" s="3"/>
      <c r="C10" s="3" t="str">
        <f t="shared" ref="C10:F10" si="4">IFERROR('Form Responses 2'!D10,"")</f>
        <v/>
      </c>
      <c r="D10" s="3" t="str">
        <f t="shared" si="4"/>
        <v/>
      </c>
      <c r="E10" s="3" t="str">
        <f t="shared" si="4"/>
        <v/>
      </c>
      <c r="F10" s="3" t="str">
        <f t="shared" si="4"/>
        <v/>
      </c>
      <c r="G1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39</v>
      </c>
      <c r="B1" s="3" t="s">
        <v>40</v>
      </c>
      <c r="C1" s="3" t="s">
        <v>41</v>
      </c>
      <c r="D1" s="3" t="s">
        <v>42</v>
      </c>
      <c r="E1" s="3" t="s">
        <v>43</v>
      </c>
      <c r="F1" s="3"/>
    </row>
    <row r="2">
      <c r="A2" s="3" t="s">
        <v>44</v>
      </c>
      <c r="B2" s="3" t="s">
        <v>5</v>
      </c>
      <c r="C2" s="3" t="s">
        <v>45</v>
      </c>
      <c r="D2" s="3" t="s">
        <v>46</v>
      </c>
      <c r="E2" s="5">
        <v>7.11223344E8</v>
      </c>
      <c r="F2" s="3"/>
    </row>
    <row r="3">
      <c r="A3" s="3" t="s">
        <v>47</v>
      </c>
      <c r="B3" s="3" t="s">
        <v>11</v>
      </c>
      <c r="C3" s="3" t="s">
        <v>48</v>
      </c>
      <c r="D3" s="3" t="s">
        <v>2</v>
      </c>
      <c r="E3" s="5">
        <v>7.11442233E8</v>
      </c>
      <c r="F3" s="3"/>
    </row>
    <row r="4">
      <c r="A4" s="3" t="s">
        <v>49</v>
      </c>
      <c r="B4" s="3" t="s">
        <v>8</v>
      </c>
      <c r="C4" s="3" t="s">
        <v>50</v>
      </c>
      <c r="D4" s="3" t="s">
        <v>51</v>
      </c>
      <c r="E4" s="5">
        <v>7.00112233E8</v>
      </c>
      <c r="F4" s="3"/>
    </row>
    <row r="5">
      <c r="A5" s="3" t="s">
        <v>52</v>
      </c>
      <c r="B5" s="3" t="s">
        <v>53</v>
      </c>
      <c r="C5" s="3" t="s">
        <v>45</v>
      </c>
      <c r="D5" s="3" t="s">
        <v>51</v>
      </c>
      <c r="E5" s="5">
        <v>7.11998877E8</v>
      </c>
      <c r="F5" s="3"/>
    </row>
    <row r="6">
      <c r="A6" s="3" t="s">
        <v>54</v>
      </c>
      <c r="B6" s="3" t="s">
        <v>55</v>
      </c>
      <c r="C6" s="3" t="s">
        <v>48</v>
      </c>
      <c r="D6" s="3" t="s">
        <v>56</v>
      </c>
      <c r="E6" s="5">
        <v>7.88877665E8</v>
      </c>
      <c r="F6" s="3"/>
    </row>
    <row r="7">
      <c r="A7" s="3" t="s">
        <v>57</v>
      </c>
      <c r="B7" s="3" t="s">
        <v>58</v>
      </c>
      <c r="C7" s="3" t="s">
        <v>50</v>
      </c>
      <c r="D7" s="3" t="s">
        <v>46</v>
      </c>
      <c r="E7" s="5">
        <v>7.99231155E8</v>
      </c>
      <c r="F7" s="3"/>
    </row>
    <row r="8">
      <c r="A8" s="3" t="s">
        <v>59</v>
      </c>
      <c r="B8" s="3" t="s">
        <v>60</v>
      </c>
      <c r="C8" s="3" t="s">
        <v>45</v>
      </c>
      <c r="D8" s="3" t="s">
        <v>51</v>
      </c>
      <c r="E8" s="5">
        <v>7.12554433E8</v>
      </c>
      <c r="F8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61</v>
      </c>
      <c r="B1" s="3" t="s">
        <v>62</v>
      </c>
      <c r="C1" s="3" t="s">
        <v>1</v>
      </c>
      <c r="D1" s="3" t="s">
        <v>0</v>
      </c>
      <c r="E1" s="3" t="s">
        <v>63</v>
      </c>
      <c r="F1" s="3" t="s">
        <v>64</v>
      </c>
      <c r="G1" s="3" t="s">
        <v>65</v>
      </c>
      <c r="H1" s="3" t="s">
        <v>66</v>
      </c>
    </row>
    <row r="2">
      <c r="A2" s="6"/>
      <c r="B2" s="3"/>
      <c r="C2" s="3"/>
      <c r="D2" s="3"/>
      <c r="E2" s="3"/>
      <c r="F2" s="3"/>
      <c r="G2" s="3"/>
      <c r="H2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61</v>
      </c>
      <c r="B1" s="3" t="s">
        <v>67</v>
      </c>
      <c r="C1" s="3" t="s">
        <v>41</v>
      </c>
      <c r="D1" s="3" t="s">
        <v>68</v>
      </c>
      <c r="E1" s="3" t="s">
        <v>69</v>
      </c>
      <c r="F1" s="3" t="s">
        <v>70</v>
      </c>
      <c r="G1" s="3" t="s">
        <v>71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72</v>
      </c>
      <c r="B1" s="3" t="s">
        <v>73</v>
      </c>
      <c r="C1" s="3" t="s">
        <v>74</v>
      </c>
      <c r="D1" s="3" t="s">
        <v>75</v>
      </c>
      <c r="E1" s="3" t="s">
        <v>76</v>
      </c>
      <c r="F1" s="3" t="s">
        <v>77</v>
      </c>
    </row>
    <row r="2">
      <c r="C2" s="7">
        <f>IFERROR(SUMIF('Stock In'!D:D, A2, 'Stock In'!G:G), 0)</f>
        <v>0</v>
      </c>
      <c r="D2" s="7">
        <f>IFERROR(SUMIFS(Sales!F:F, Sales!C:C, A2, Sales!E:E, B2), 0)</f>
        <v>0</v>
      </c>
      <c r="E2" s="7">
        <f>C2 - D2</f>
        <v>0</v>
      </c>
      <c r="F2" s="7" t="str">
        <f>IFERROR(VLOOKUP(B2, Products!B:F, 5, FALSE), "")</f>
        <v/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</cols>
  <sheetData>
    <row r="1">
      <c r="A1" s="3" t="s">
        <v>78</v>
      </c>
    </row>
    <row r="2">
      <c r="A2" s="3" t="s">
        <v>79</v>
      </c>
      <c r="B2" s="7">
        <f>IFERROR(SUM(Sales!G:G), 0)</f>
        <v>0</v>
      </c>
    </row>
    <row r="3">
      <c r="A3" s="3" t="s">
        <v>80</v>
      </c>
      <c r="B3" s="7">
        <f>IFERROR(SUMIF(Sales!B:B, TODAY(), Sales!G:G), 0)</f>
        <v>0</v>
      </c>
    </row>
    <row r="4">
      <c r="A4" s="3" t="s">
        <v>81</v>
      </c>
      <c r="B4" s="7">
        <f>IFERROR(__xludf.DUMMYFUNCTION("IFERROR(SUM(FILTER(Sales!G:G, MONTH(Sales!B:B)=MONTH(TODAY()))), 0)"),0.0)</f>
        <v>0</v>
      </c>
    </row>
    <row r="5">
      <c r="A5" s="3" t="s">
        <v>82</v>
      </c>
      <c r="B5" s="7">
        <f>IFERROR(SUM(Inventory!E:E * VLOOKUP(Inventory!B:B, Products!B:E, 4, FALSE)), 0)</f>
        <v>0</v>
      </c>
    </row>
    <row r="6">
      <c r="A6" s="3" t="s">
        <v>83</v>
      </c>
    </row>
    <row r="7">
      <c r="A7" s="3" t="s">
        <v>84</v>
      </c>
    </row>
    <row r="8">
      <c r="A8" s="3" t="s">
        <v>85</v>
      </c>
      <c r="B8" s="7" t="str">
        <f>COUNTIF(Inventory!E:E, "&lt;=2")</f>
        <v>#REF!</v>
      </c>
    </row>
    <row r="9">
      <c r="A9" s="3"/>
    </row>
  </sheetData>
  <drawing r:id="rId1"/>
</worksheet>
</file>